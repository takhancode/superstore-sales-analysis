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analysislearning\"/>
    </mc:Choice>
  </mc:AlternateContent>
  <xr:revisionPtr revIDLastSave="0" documentId="8_{E53CC73B-D52E-468C-9086-3BD838D5DAD6}" xr6:coauthVersionLast="47" xr6:coauthVersionMax="47" xr10:uidLastSave="{00000000-0000-0000-0000-000000000000}"/>
  <bookViews>
    <workbookView xWindow="-110" yWindow="-110" windowWidth="19420" windowHeight="10300" firstSheet="1" activeTab="1" xr2:uid="{3DBBD68C-CAC3-45E7-904D-C6449242744D}"/>
  </bookViews>
  <sheets>
    <sheet name="Region" sheetId="2" r:id="rId1"/>
    <sheet name="Dashboard" sheetId="7" r:id="rId2"/>
    <sheet name="Subcategory" sheetId="3" r:id="rId3"/>
    <sheet name="Monthly" sheetId="4" r:id="rId4"/>
    <sheet name="lossMaking" sheetId="5" r:id="rId5"/>
    <sheet name="Segment" sheetId="6" r:id="rId6"/>
  </sheets>
  <definedNames>
    <definedName name="ExternalData_1" localSheetId="4" hidden="1">lossMaking!$A$1:$B$6</definedName>
    <definedName name="ExternalData_1" localSheetId="3" hidden="1">Monthly!$A$1:$C$49</definedName>
    <definedName name="ExternalData_1" localSheetId="0" hidden="1">Region!$A$1:$C$5</definedName>
    <definedName name="ExternalData_1" localSheetId="5" hidden="1">Segment!$A$1:$B$4</definedName>
    <definedName name="ExternalData_1" localSheetId="2" hidden="1">Subcategory!$A$1:$D$11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B9CC10-C0DC-41B5-85F8-301BA881885F}" keepAlive="1" name="Query - query1result" description="Connection to the 'query1result' query in the workbook." type="5" refreshedVersion="8" background="1" saveData="1">
    <dbPr connection="Provider=Microsoft.Mashup.OleDb.1;Data Source=$Workbook$;Location=query1result;Extended Properties=&quot;&quot;" command="SELECT * FROM [query1result]"/>
  </connection>
  <connection id="2" xr16:uid="{254F2828-62B2-4BE2-9457-75EFFEACD0D6}" keepAlive="1" name="Query - query2result" description="Connection to the 'query2result' query in the workbook." type="5" refreshedVersion="8" background="1" saveData="1">
    <dbPr connection="Provider=Microsoft.Mashup.OleDb.1;Data Source=$Workbook$;Location=query2result;Extended Properties=&quot;&quot;" command="SELECT * FROM [query2result]"/>
  </connection>
  <connection id="3" xr16:uid="{BD1588AC-E04F-41A7-870E-1D8AD062D9D6}" keepAlive="1" name="Query - query3result" description="Connection to the 'query3result' query in the workbook." type="5" refreshedVersion="8" background="1" saveData="1">
    <dbPr connection="Provider=Microsoft.Mashup.OleDb.1;Data Source=$Workbook$;Location=query3result;Extended Properties=&quot;&quot;" command="SELECT * FROM [query3result]"/>
  </connection>
  <connection id="4" xr16:uid="{30C306A0-58AD-48F4-856B-863525BBE53E}" keepAlive="1" name="Query - query4result" description="Connection to the 'query4result' query in the workbook." type="5" refreshedVersion="8" background="1" saveData="1">
    <dbPr connection="Provider=Microsoft.Mashup.OleDb.1;Data Source=$Workbook$;Location=query4result;Extended Properties=&quot;&quot;" command="SELECT * FROM [query4result]"/>
  </connection>
  <connection id="5" xr16:uid="{2541439A-7FC6-4AC4-8096-8FC13AE5F9DB}" keepAlive="1" name="Query - query5result" description="Connection to the 'query5result' query in the workbook." type="5" refreshedVersion="8" background="1" saveData="1">
    <dbPr connection="Provider=Microsoft.Mashup.OleDb.1;Data Source=$Workbook$;Location=query5result;Extended Properties=&quot;&quot;" command="SELECT * FROM [query5result]"/>
  </connection>
</connections>
</file>

<file path=xl/sharedStrings.xml><?xml version="1.0" encoding="utf-8"?>
<sst xmlns="http://schemas.openxmlformats.org/spreadsheetml/2006/main" count="39" uniqueCount="33">
  <si>
    <t>West</t>
  </si>
  <si>
    <t>East</t>
  </si>
  <si>
    <t>Central</t>
  </si>
  <si>
    <t>South</t>
  </si>
  <si>
    <t>Region</t>
  </si>
  <si>
    <t>total_revenue</t>
  </si>
  <si>
    <t>total_orders</t>
  </si>
  <si>
    <t>Sub_Category</t>
  </si>
  <si>
    <t>total_sales</t>
  </si>
  <si>
    <t>total_profit</t>
  </si>
  <si>
    <t>avg_discount_pct</t>
  </si>
  <si>
    <t>Phones</t>
  </si>
  <si>
    <t>Chairs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</si>
  <si>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</si>
  <si>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</si>
  <si>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</si>
  <si>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</si>
  <si>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</si>
  <si>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</si>
  <si>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</si>
  <si>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</si>
  <si>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month</t>
  </si>
  <si>
    <t>monthly_sales</t>
  </si>
  <si>
    <t>monthly_profit</t>
  </si>
  <si>
    <t>loss_orders</t>
  </si>
  <si>
    <t>total_loss</t>
  </si>
  <si>
    <t>Segment</t>
  </si>
  <si>
    <t>revenue</t>
  </si>
  <si>
    <t>profit</t>
  </si>
  <si>
    <t>profit_margin_pct</t>
  </si>
  <si>
    <t>Consumer</t>
  </si>
  <si>
    <t>Corporate</t>
  </si>
  <si>
    <t>Home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</si>
</sst>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</a:t>
            </a:r>
            <a:r>
              <a:rPr lang="en-US" baseline="0"/>
              <a:t>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Region!$B$1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Region!$B$2:$B$5</c:f>
              <c:numCache>
                <c:formatCode>General</c:formatCode>
                <c:ptCount val="4"/>
                <c:pt idx="0">
                  <c:v>725457.93</c:v>
                </c:pt>
                <c:pt idx="1">
                  <c:v>678781.36</c:v>
                </c:pt>
                <c:pt idx="2">
                  <c:v>501239.88</c:v>
                </c:pt>
                <c:pt idx="3">
                  <c:v>391721.9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BB-468B-A3AB-1B7126882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9912864"/>
        <c:axId val="989912504"/>
      </c:barChart>
      <c:catAx>
        <c:axId val="989912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912504"/>
        <c:crosses val="autoZero"/>
        <c:auto val="1"/>
        <c:lblAlgn val="ctr"/>
        <c:lblOffset val="100"/>
        <c:noMultiLvlLbl val="0"/>
      </c:catAx>
      <c:valAx>
        <c:axId val="989912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991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Subcategory!$B$1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Subcategory!$A$2:$A$11</c:f>
              <c:strCache>
                <c:ptCount val="10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</c:strCache>
            </c:strRef>
          </c:cat>
          <c:val>
            <c:numRef>
              <c:f>Subcategory!$B$2:$B$11</c:f>
              <c:numCache>
                <c:formatCode>General</c:formatCode>
                <c:ptCount val="10"/>
                <c:pt idx="0">
                  <c:v>330007.09999999998</c:v>
                </c:pt>
                <c:pt idx="1">
                  <c:v>328449.13</c:v>
                </c:pt>
                <c:pt idx="2">
                  <c:v>223843.59</c:v>
                </c:pt>
                <c:pt idx="3">
                  <c:v>206965.68</c:v>
                </c:pt>
                <c:pt idx="4">
                  <c:v>203412.77</c:v>
                </c:pt>
                <c:pt idx="5">
                  <c:v>189238.68</c:v>
                </c:pt>
                <c:pt idx="6">
                  <c:v>167380.31</c:v>
                </c:pt>
                <c:pt idx="7">
                  <c:v>149528.01</c:v>
                </c:pt>
                <c:pt idx="8">
                  <c:v>114880.05</c:v>
                </c:pt>
                <c:pt idx="9">
                  <c:v>107532.14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18-4C59-B7C7-C83EA4E61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5924472"/>
        <c:axId val="995925552"/>
      </c:barChart>
      <c:catAx>
        <c:axId val="995924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25552"/>
        <c:crosses val="autoZero"/>
        <c:auto val="1"/>
        <c:lblAlgn val="ctr"/>
        <c:lblOffset val="100"/>
        <c:noMultiLvlLbl val="0"/>
      </c:catAx>
      <c:valAx>
        <c:axId val="99592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5924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Monthly!$B$1</c:f>
              <c:strCache>
                <c:ptCount val="1"/>
                <c:pt idx="0">
                  <c:v>monthly_sales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Monthly!$A$2:$A$49</c:f>
              <c:numCache>
                <c:formatCode>m/d/yyyy</c:formatCode>
                <c:ptCount val="48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42705</c:v>
                </c:pt>
                <c:pt idx="36">
                  <c:v>42736</c:v>
                </c:pt>
                <c:pt idx="37">
                  <c:v>42767</c:v>
                </c:pt>
                <c:pt idx="38">
                  <c:v>42795</c:v>
                </c:pt>
                <c:pt idx="39">
                  <c:v>42826</c:v>
                </c:pt>
                <c:pt idx="40">
                  <c:v>42856</c:v>
                </c:pt>
                <c:pt idx="41">
                  <c:v>42887</c:v>
                </c:pt>
                <c:pt idx="42">
                  <c:v>42917</c:v>
                </c:pt>
                <c:pt idx="43">
                  <c:v>42948</c:v>
                </c:pt>
                <c:pt idx="44">
                  <c:v>42979</c:v>
                </c:pt>
                <c:pt idx="45">
                  <c:v>43009</c:v>
                </c:pt>
                <c:pt idx="46">
                  <c:v>43040</c:v>
                </c:pt>
                <c:pt idx="47">
                  <c:v>43070</c:v>
                </c:pt>
              </c:numCache>
            </c:numRef>
          </c:cat>
          <c:val>
            <c:numRef>
              <c:f>Monthly!$B$2:$B$49</c:f>
              <c:numCache>
                <c:formatCode>General</c:formatCode>
                <c:ptCount val="48"/>
                <c:pt idx="0">
                  <c:v>14236.9</c:v>
                </c:pt>
                <c:pt idx="1">
                  <c:v>4519.92</c:v>
                </c:pt>
                <c:pt idx="2">
                  <c:v>55691.040000000001</c:v>
                </c:pt>
                <c:pt idx="3">
                  <c:v>28295.35</c:v>
                </c:pt>
                <c:pt idx="4">
                  <c:v>23648.28</c:v>
                </c:pt>
                <c:pt idx="5">
                  <c:v>34595.14</c:v>
                </c:pt>
                <c:pt idx="6">
                  <c:v>33946.370000000003</c:v>
                </c:pt>
                <c:pt idx="7">
                  <c:v>27909.47</c:v>
                </c:pt>
                <c:pt idx="8">
                  <c:v>81777.34</c:v>
                </c:pt>
                <c:pt idx="9">
                  <c:v>31453.37</c:v>
                </c:pt>
                <c:pt idx="10">
                  <c:v>78628.740000000005</c:v>
                </c:pt>
                <c:pt idx="11">
                  <c:v>69545.64</c:v>
                </c:pt>
                <c:pt idx="12">
                  <c:v>18174.080000000002</c:v>
                </c:pt>
                <c:pt idx="13">
                  <c:v>11951.4</c:v>
                </c:pt>
                <c:pt idx="14">
                  <c:v>38726.26</c:v>
                </c:pt>
                <c:pt idx="15">
                  <c:v>34195.25</c:v>
                </c:pt>
                <c:pt idx="16">
                  <c:v>30131.72</c:v>
                </c:pt>
                <c:pt idx="17">
                  <c:v>24797.31</c:v>
                </c:pt>
                <c:pt idx="18">
                  <c:v>28765.32</c:v>
                </c:pt>
                <c:pt idx="19">
                  <c:v>36898.32</c:v>
                </c:pt>
                <c:pt idx="20">
                  <c:v>64595.87</c:v>
                </c:pt>
                <c:pt idx="21">
                  <c:v>31404.9</c:v>
                </c:pt>
                <c:pt idx="22">
                  <c:v>75972.509999999995</c:v>
                </c:pt>
                <c:pt idx="23">
                  <c:v>74919.520000000004</c:v>
                </c:pt>
                <c:pt idx="24">
                  <c:v>18542.52</c:v>
                </c:pt>
                <c:pt idx="25">
                  <c:v>22978.82</c:v>
                </c:pt>
                <c:pt idx="26">
                  <c:v>51715.86</c:v>
                </c:pt>
                <c:pt idx="27">
                  <c:v>38750.04</c:v>
                </c:pt>
                <c:pt idx="28">
                  <c:v>56987.75</c:v>
                </c:pt>
                <c:pt idx="29">
                  <c:v>40344.54</c:v>
                </c:pt>
                <c:pt idx="30">
                  <c:v>39261.99</c:v>
                </c:pt>
                <c:pt idx="31">
                  <c:v>31115.35</c:v>
                </c:pt>
                <c:pt idx="32">
                  <c:v>73410.09</c:v>
                </c:pt>
                <c:pt idx="33">
                  <c:v>59687.8</c:v>
                </c:pt>
                <c:pt idx="34">
                  <c:v>79412.03</c:v>
                </c:pt>
                <c:pt idx="35">
                  <c:v>96999.07</c:v>
                </c:pt>
                <c:pt idx="36">
                  <c:v>43971.37</c:v>
                </c:pt>
                <c:pt idx="37">
                  <c:v>20301.12</c:v>
                </c:pt>
                <c:pt idx="38">
                  <c:v>58872.35</c:v>
                </c:pt>
                <c:pt idx="39">
                  <c:v>36521.519999999997</c:v>
                </c:pt>
                <c:pt idx="40">
                  <c:v>44261.08</c:v>
                </c:pt>
                <c:pt idx="41">
                  <c:v>52981.73</c:v>
                </c:pt>
                <c:pt idx="42">
                  <c:v>45264.43</c:v>
                </c:pt>
                <c:pt idx="43">
                  <c:v>63120.85</c:v>
                </c:pt>
                <c:pt idx="44">
                  <c:v>87866.66</c:v>
                </c:pt>
                <c:pt idx="45">
                  <c:v>77776.960000000006</c:v>
                </c:pt>
                <c:pt idx="46">
                  <c:v>118447.81</c:v>
                </c:pt>
                <c:pt idx="47">
                  <c:v>83829.31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0-437C-83A3-4553A2D8C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776008"/>
        <c:axId val="1028778888"/>
      </c:lineChart>
      <c:dateAx>
        <c:axId val="10287760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78888"/>
        <c:crosses val="autoZero"/>
        <c:auto val="1"/>
        <c:lblOffset val="100"/>
        <c:baseTimeUnit val="months"/>
      </c:dateAx>
      <c:valAx>
        <c:axId val="1028778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76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Loss-Making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lossMaking!$B$1</c:f>
              <c:strCache>
                <c:ptCount val="1"/>
                <c:pt idx="0">
                  <c:v>total_loss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lossMaking!$A$2:$A$6</c:f>
              <c:strCache>
                <c:ptCount val="5"/>
                <c:pt idx="0">
                  <c:v>Binders</c:v>
                </c:pt>
                <c:pt idx="1">
                  <c:v>Tables</c:v>
                </c:pt>
                <c:pt idx="2">
                  <c:v>Machines</c:v>
                </c:pt>
                <c:pt idx="3">
                  <c:v>Bookcases</c:v>
                </c:pt>
                <c:pt idx="4">
                  <c:v>Chairs</c:v>
                </c:pt>
              </c:strCache>
            </c:strRef>
          </c:cat>
          <c:val>
            <c:numRef>
              <c:f>lossMaking!$B$2:$B$6</c:f>
              <c:numCache>
                <c:formatCode>General</c:formatCode>
                <c:ptCount val="5"/>
                <c:pt idx="0">
                  <c:v>-38510.639999999999</c:v>
                </c:pt>
                <c:pt idx="1">
                  <c:v>-32412.240000000002</c:v>
                </c:pt>
                <c:pt idx="2">
                  <c:v>-30118.720000000001</c:v>
                </c:pt>
                <c:pt idx="3">
                  <c:v>-12152.3</c:v>
                </c:pt>
                <c:pt idx="4">
                  <c:v>-9880.9500000000007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E-4699-8C36-C8D564932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8777088"/>
        <c:axId val="1028777448"/>
      </c:barChart>
      <c:catAx>
        <c:axId val="1028777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77448"/>
        <c:crosses val="autoZero"/>
        <c:auto val="1"/>
        <c:lblAlgn val="ctr"/>
        <c:lblOffset val="100"/>
        <c:noMultiLvlLbl val="0"/>
      </c:catAx>
      <c:valAx>
        <c:axId val="1028777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77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sz="1400" b="0" i="0" u="none" strike="noStrike" baseline="0"/>
          </a:p>
          <a:p>
            <a:pPr>
              <a:defRPr/>
            </a:pPr>
            <a:r>
              <a:rPr lang="en-US" sz="1400" b="0" i="0" u="none" strike="noStrike" baseline="0"/>
              <a:t>Profit Margin by Segment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Segment!$B$1</c:f>
              <c:strCache>
                <c:ptCount val="1"/>
                <c:pt idx="0">
                  <c:v>profit_margin_pct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464-4391-A5ED-56C677FF58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464-4391-A5ED-56C677FF58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464-4391-A5ED-56C677FF584F}"/>
              </c:ext>
            </c:extLst>
          </c:dPt>
          <c:cat>
            <c:strRef>
              <c:f>Segment!$A$2:$A$4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Segment!$B$2:$B$4</c:f>
              <c:numCache>
                <c:formatCode>General</c:formatCode>
                <c:ptCount val="3"/>
                <c:pt idx="0">
                  <c:v>11.5</c:v>
                </c:pt>
                <c:pt idx="1">
                  <c:v>13</c:v>
                </c:pt>
                <c:pt idx="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64-4391-A5ED-56C677FF58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69850</xdr:rowOff>
    </xdr:from>
    <xdr:to>
      <xdr:col>6</xdr:col>
      <xdr:colOff>488950</xdr:colOff>
      <xdr:row>17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972EBA-3DB4-4300-8249-A036BAA10B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552450</xdr:colOff>
      <xdr:row>0</xdr:row>
      <xdr:rowOff>107950</xdr:rowOff>
    </xdr:from>
    <xdr:to>
      <xdr:col>14</xdr:col>
      <xdr:colOff>247650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161C7F-EC0C-4BCE-9557-647C4C7A99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120650</xdr:colOff>
      <xdr:row>18</xdr:row>
      <xdr:rowOff>69850</xdr:rowOff>
    </xdr:from>
    <xdr:to>
      <xdr:col>6</xdr:col>
      <xdr:colOff>450850</xdr:colOff>
      <xdr:row>33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194357-8C68-4785-BE19-256FC0FC9F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18</xdr:row>
      <xdr:rowOff>65368</xdr:rowOff>
    </xdr:from>
    <xdr:to>
      <xdr:col>14</xdr:col>
      <xdr:colOff>323103</xdr:colOff>
      <xdr:row>33</xdr:row>
      <xdr:rowOff>74706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2F72B7-F796-4345-9838-82E51F710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84044</xdr:colOff>
      <xdr:row>1</xdr:row>
      <xdr:rowOff>37353</xdr:rowOff>
    </xdr:from>
    <xdr:to>
      <xdr:col>21</xdr:col>
      <xdr:colOff>407147</xdr:colOff>
      <xdr:row>15</xdr:row>
      <xdr:rowOff>165847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9468E0-94B0-448D-8B54-963F4668B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11AE1E-9566-4DAA-8AEE-CC1A315C1F60}" autoFormatId="16" applyNumberFormats="0" applyBorderFormats="0" applyFontFormats="0" applyPatternFormats="0" applyAlignmentFormats="0" applyWidthHeightFormats="0">
  <queryTableRefresh nextId="4">
    <queryTableFields count="3">
      <queryTableField id="1" name="Region" tableColumnId="1"/>
      <queryTableField id="2" name="total_revenue" tableColumnId="2"/>
      <queryTableField id="3" name="total_order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FE641B0-334D-4306-9B0C-5135AAF366EE}" autoFormatId="16" applyNumberFormats="0" applyBorderFormats="0" applyFontFormats="0" applyPatternFormats="0" applyAlignmentFormats="0" applyWidthHeightFormats="0">
  <queryTableRefresh nextId="5">
    <queryTableFields count="4">
      <queryTableField id="1" name="Sub_Category" tableColumnId="1"/>
      <queryTableField id="2" name="total_sales" tableColumnId="2"/>
      <queryTableField id="3" name="total_profit" tableColumnId="3"/>
      <queryTableField id="4" name="avg_discount_pc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A65330E-91A3-413C-B282-239D7D2E1FD5}" autoFormatId="16" applyNumberFormats="0" applyBorderFormats="0" applyFontFormats="0" applyPatternFormats="0" applyAlignmentFormats="0" applyWidthHeightFormats="0">
  <queryTableRefresh nextId="4">
    <queryTableFields count="3">
      <queryTableField id="1" name="month" tableColumnId="1"/>
      <queryTableField id="2" name="monthly_sales" tableColumnId="2"/>
      <queryTableField id="3" name="monthly_profit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8831E60-AE2C-45DB-B7C0-839BF49F7732}" autoFormatId="16" applyNumberFormats="0" applyBorderFormats="0" applyFontFormats="0" applyPatternFormats="0" applyAlignmentFormats="0" applyWidthHeightFormats="0">
  <queryTableRefresh nextId="4">
    <queryTableFields count="2">
      <queryTableField id="1" name="Sub_Category" tableColumnId="1"/>
      <queryTableField id="3" name="total_loss" tableColumnId="3"/>
    </queryTableFields>
    <queryTableDeletedFields count="1">
      <deletedField name="loss_orders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4A96328-57B6-4CC1-B6FE-F1EF016E5CCB}" autoFormatId="16" applyNumberFormats="0" applyBorderFormats="0" applyFontFormats="0" applyPatternFormats="0" applyAlignmentFormats="0" applyWidthHeightFormats="0">
  <queryTableRefresh nextId="5">
    <queryTableFields count="2">
      <queryTableField id="1" name="Segment" tableColumnId="1"/>
      <queryTableField id="4" name="profit_margin_pct" tableColumnId="4"/>
    </queryTableFields>
    <queryTableDeletedFields count="2">
      <deletedField name="revenue"/>
      <deletedField name="profit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A750B-8819-42CF-BB71-123004E01CA0}" name="query1result" displayName="query1result" ref="A1:C5" tableType="queryTable" totalsRowShown="0">
  <autoFilter ref="A1:C5" xr:uid="{9F9A750B-8819-42CF-BB71-123004E01CA0}"/>
  <tableColumns count="3">
    <tableColumn id="1" xr3:uid="{59196D3A-A153-416F-80A5-2E4B323F473A}" uniqueName="1" name="Region" queryTableFieldId="1" dataDxfId="4"/>
    <tableColumn id="2" xr3:uid="{8C3CFE2C-2BB4-4F42-B73C-EF80D67AD194}" uniqueName="2" name="total_revenue" queryTableFieldId="2"/>
    <tableColumn id="3" xr3:uid="{B8051C87-B1BD-4788-842E-6184FEFC6B2A}" uniqueName="3" name="total_orders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8FAA87-208D-4167-8946-5E74121189A1}" name="query2result" displayName="query2result" ref="A1:D11" tableType="queryTable" totalsRowShown="0">
  <autoFilter ref="A1:D11" xr:uid="{798FAA87-208D-4167-8946-5E74121189A1}"/>
  <tableColumns count="4">
    <tableColumn id="1" xr3:uid="{A6484E9B-C4CA-45FC-82B6-EB556BAF7F68}" uniqueName="1" name="Sub_Category" queryTableFieldId="1" dataDxfId="3"/>
    <tableColumn id="2" xr3:uid="{F047E08D-167A-405C-BBD9-E4B6A707D64A}" uniqueName="2" name="total_sales" queryTableFieldId="2"/>
    <tableColumn id="3" xr3:uid="{9ED72BBA-3418-4F50-99C2-E126D2E646F7}" uniqueName="3" name="total_profit" queryTableFieldId="3"/>
    <tableColumn id="4" xr3:uid="{13B58F5F-210F-4FB1-A3D0-00773066ED2C}" uniqueName="4" name="avg_discount_pct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057802-2D43-4F8F-9DFA-BF933B08BD72}" name="query3result" displayName="query3result" ref="A1:C49" tableType="queryTable" totalsRowShown="0">
  <autoFilter ref="A1:C49" xr:uid="{A0057802-2D43-4F8F-9DFA-BF933B08BD72}"/>
  <tableColumns count="3">
    <tableColumn id="1" xr3:uid="{461CC4DA-5128-4D64-B59A-73AF020F1879}" uniqueName="1" name="month" queryTableFieldId="1" dataDxfId="2"/>
    <tableColumn id="2" xr3:uid="{9FB5BF8C-AD8C-47E2-830B-27E576FA9A67}" uniqueName="2" name="monthly_sales" queryTableFieldId="2"/>
    <tableColumn id="3" xr3:uid="{038250BB-6562-4E6D-ABF8-F13272439C8A}" uniqueName="3" name="monthly_profi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81E768-4A0C-4752-84AD-ECD94D26AA7E}" name="query4result" displayName="query4result" ref="A1:B6" tableType="queryTable" totalsRowShown="0">
  <autoFilter ref="A1:B6" xr:uid="{3781E768-4A0C-4752-84AD-ECD94D26AA7E}"/>
  <tableColumns count="2">
    <tableColumn id="1" xr3:uid="{A8A1201E-410E-4E95-81ED-8C9CB1A03BF5}" uniqueName="1" name="Sub_Category" queryTableFieldId="1" dataDxfId="1"/>
    <tableColumn id="3" xr3:uid="{3D860153-2927-4E63-9943-1C0289246F9E}" uniqueName="3" name="total_loss" queryTableField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F99CBD-B883-4334-9624-BE4C46F3379B}" name="query5result" displayName="query5result" ref="A1:B4" tableType="queryTable" totalsRowShown="0">
  <autoFilter ref="A1:B4" xr:uid="{15F99CBD-B883-4334-9624-BE4C46F3379B}"/>
  <tableColumns count="2">
    <tableColumn id="1" xr3:uid="{BD41098E-0A24-4A26-81E6-41DE3D0CD6A5}" uniqueName="1" name="Segment" queryTableFieldId="1" dataDxfId="0"/>
    <tableColumn id="4" xr3:uid="{9A8178ED-63E0-4F79-95E7-6909C93C7046}" uniqueName="4" name="profit_margin_pc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DBAA-71BC-477C-A8FB-3935E7FBBF49}">
  <dimension ref="A1:C5"/>
  <sheetViews>
    <sheetView workbookViewId="0">
      <selection activeCell="L12" sqref="L12"/>
    </sheetView>
  </sheetViews>
  <sheetFormatPr defaultRowHeight="14.5" x14ac:dyDescent="0.35"/>
  <cols>
    <col min="1" max="1" width="8.81640625" bestFit="1" customWidth="1"/>
    <col min="2" max="2" width="14.453125" bestFit="1" customWidth="1"/>
    <col min="3" max="3" width="13" bestFit="1" customWidth="1"/>
  </cols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 s="1" t="s">
        <v>0</v>
      </c>
      <c r="B2">
        <v>725457.93</v>
      </c>
      <c r="C2">
        <v>1611</v>
      </c>
    </row>
    <row r="3" spans="1:3" x14ac:dyDescent="0.35">
      <c r="A3" s="1" t="s">
        <v>1</v>
      </c>
      <c r="B3">
        <v>678781.36</v>
      </c>
      <c r="C3">
        <v>1401</v>
      </c>
    </row>
    <row r="4" spans="1:3" x14ac:dyDescent="0.35">
      <c r="A4" s="1" t="s">
        <v>2</v>
      </c>
      <c r="B4">
        <v>501239.88</v>
      </c>
      <c r="C4">
        <v>1175</v>
      </c>
    </row>
    <row r="5" spans="1:3" x14ac:dyDescent="0.35">
      <c r="A5" s="1" t="s">
        <v>3</v>
      </c>
      <c r="B5">
        <v>391721.9</v>
      </c>
      <c r="C5">
        <v>822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06FE-23BB-479D-B9D7-8F93C85A0911}">
  <dimension ref="A1"/>
  <sheetViews>
    <sheetView tabSelected="1" zoomScale="68" workbookViewId="0">
      <selection activeCell="R23" sqref="R23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CEE1-D801-46E5-9074-DDB905D10E7C}">
  <dimension ref="A1:D11"/>
  <sheetViews>
    <sheetView topLeftCell="A10" workbookViewId="0">
      <selection activeCell="K17" sqref="K17"/>
    </sheetView>
  </sheetViews>
  <sheetFormatPr defaultRowHeight="14.5" x14ac:dyDescent="0.35"/>
  <cols>
    <col min="1" max="1" width="14.54296875" bestFit="1" customWidth="1"/>
    <col min="2" max="2" width="12.08984375" bestFit="1" customWidth="1"/>
    <col min="3" max="3" width="12.26953125" bestFit="1" customWidth="1"/>
    <col min="4" max="4" width="17.7265625" bestFit="1" customWidth="1"/>
  </cols>
  <sheetData>
    <row r="1" spans="1:4" x14ac:dyDescent="0.35">
      <c r="A1" t="s">
        <v>7</v>
      </c>
      <c r="B1" t="s">
        <v>8</v>
      </c>
      <c r="C1" t="s">
        <v>9</v>
      </c>
      <c r="D1" t="s">
        <v>10</v>
      </c>
    </row>
    <row r="2" spans="1:4" x14ac:dyDescent="0.35">
      <c r="A2" s="1" t="s">
        <v>11</v>
      </c>
      <c r="B2">
        <v>330007.09999999998</v>
      </c>
      <c r="C2">
        <v>44516.25</v>
      </c>
      <c r="D2">
        <v>15.5</v>
      </c>
    </row>
    <row r="3" spans="1:4" x14ac:dyDescent="0.35">
      <c r="A3" s="1" t="s">
        <v>12</v>
      </c>
      <c r="B3">
        <v>328449.13</v>
      </c>
      <c r="C3">
        <v>26590.15</v>
      </c>
      <c r="D3">
        <v>17</v>
      </c>
    </row>
    <row r="4" spans="1:4" x14ac:dyDescent="0.35">
      <c r="A4" s="1" t="s">
        <v>13</v>
      </c>
      <c r="B4">
        <v>223843.59</v>
      </c>
      <c r="C4">
        <v>21279.05</v>
      </c>
      <c r="D4">
        <v>7.5</v>
      </c>
    </row>
    <row r="5" spans="1:4" x14ac:dyDescent="0.35">
      <c r="A5" s="1" t="s">
        <v>14</v>
      </c>
      <c r="B5">
        <v>206965.68</v>
      </c>
      <c r="C5">
        <v>-17725.59</v>
      </c>
      <c r="D5">
        <v>26.1</v>
      </c>
    </row>
    <row r="6" spans="1:4" x14ac:dyDescent="0.35">
      <c r="A6" s="1" t="s">
        <v>15</v>
      </c>
      <c r="B6">
        <v>203412.77</v>
      </c>
      <c r="C6">
        <v>30221.64</v>
      </c>
      <c r="D6">
        <v>37.200000000000003</v>
      </c>
    </row>
    <row r="7" spans="1:4" x14ac:dyDescent="0.35">
      <c r="A7" s="1" t="s">
        <v>16</v>
      </c>
      <c r="B7">
        <v>189238.68</v>
      </c>
      <c r="C7">
        <v>3384.73</v>
      </c>
      <c r="D7">
        <v>30.6</v>
      </c>
    </row>
    <row r="8" spans="1:4" x14ac:dyDescent="0.35">
      <c r="A8" s="1" t="s">
        <v>17</v>
      </c>
      <c r="B8">
        <v>167380.31</v>
      </c>
      <c r="C8">
        <v>41936.78</v>
      </c>
      <c r="D8">
        <v>7.8</v>
      </c>
    </row>
    <row r="9" spans="1:4" x14ac:dyDescent="0.35">
      <c r="A9" s="1" t="s">
        <v>18</v>
      </c>
      <c r="B9">
        <v>149528.01</v>
      </c>
      <c r="C9">
        <v>55617.9</v>
      </c>
      <c r="D9">
        <v>16.2</v>
      </c>
    </row>
    <row r="10" spans="1:4" x14ac:dyDescent="0.35">
      <c r="A10" s="1" t="s">
        <v>19</v>
      </c>
      <c r="B10">
        <v>114880.05</v>
      </c>
      <c r="C10">
        <v>-3472.56</v>
      </c>
      <c r="D10">
        <v>21.1</v>
      </c>
    </row>
    <row r="11" spans="1:4" x14ac:dyDescent="0.35">
      <c r="A11" s="1" t="s">
        <v>20</v>
      </c>
      <c r="B11">
        <v>107532.14</v>
      </c>
      <c r="C11">
        <v>18138.07</v>
      </c>
      <c r="D11">
        <v>16.7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DCF6-734E-4F22-AFDF-C4BFB497101A}">
  <dimension ref="A1:C49"/>
  <sheetViews>
    <sheetView workbookViewId="0">
      <selection sqref="A1:B1048576"/>
    </sheetView>
  </sheetViews>
  <sheetFormatPr defaultRowHeight="14.5" x14ac:dyDescent="0.35"/>
  <cols>
    <col min="1" max="1" width="9.08984375" bestFit="1" customWidth="1"/>
    <col min="2" max="2" width="15.26953125" bestFit="1" customWidth="1"/>
    <col min="3" max="3" width="15.453125" bestFit="1" customWidth="1"/>
  </cols>
  <sheetData>
    <row r="1" spans="1:3" x14ac:dyDescent="0.35">
      <c r="A1" t="s">
        <v>21</v>
      </c>
      <c r="B1" t="s">
        <v>22</v>
      </c>
      <c r="C1" t="s">
        <v>23</v>
      </c>
    </row>
    <row r="2" spans="1:3" x14ac:dyDescent="0.35">
      <c r="A2" s="2">
        <v>41640</v>
      </c>
      <c r="B2">
        <v>14236.9</v>
      </c>
      <c r="C2">
        <v>2450.1799999999998</v>
      </c>
    </row>
    <row r="3" spans="1:3" x14ac:dyDescent="0.35">
      <c r="A3" s="2">
        <v>41671</v>
      </c>
      <c r="B3">
        <v>4519.92</v>
      </c>
      <c r="C3">
        <v>862.3</v>
      </c>
    </row>
    <row r="4" spans="1:3" x14ac:dyDescent="0.35">
      <c r="A4" s="2">
        <v>41699</v>
      </c>
      <c r="B4">
        <v>55691.040000000001</v>
      </c>
      <c r="C4">
        <v>498.72</v>
      </c>
    </row>
    <row r="5" spans="1:3" x14ac:dyDescent="0.35">
      <c r="A5" s="2">
        <v>41730</v>
      </c>
      <c r="B5">
        <v>28295.35</v>
      </c>
      <c r="C5">
        <v>3488.86</v>
      </c>
    </row>
    <row r="6" spans="1:3" x14ac:dyDescent="0.35">
      <c r="A6" s="2">
        <v>41760</v>
      </c>
      <c r="B6">
        <v>23648.28</v>
      </c>
      <c r="C6">
        <v>2738.74</v>
      </c>
    </row>
    <row r="7" spans="1:3" x14ac:dyDescent="0.35">
      <c r="A7" s="2">
        <v>41791</v>
      </c>
      <c r="B7">
        <v>34595.14</v>
      </c>
      <c r="C7">
        <v>4976.5600000000004</v>
      </c>
    </row>
    <row r="8" spans="1:3" x14ac:dyDescent="0.35">
      <c r="A8" s="2">
        <v>41821</v>
      </c>
      <c r="B8">
        <v>33946.370000000003</v>
      </c>
      <c r="C8">
        <v>-841.46</v>
      </c>
    </row>
    <row r="9" spans="1:3" x14ac:dyDescent="0.35">
      <c r="A9" s="2">
        <v>41852</v>
      </c>
      <c r="B9">
        <v>27909.47</v>
      </c>
      <c r="C9">
        <v>5318.11</v>
      </c>
    </row>
    <row r="10" spans="1:3" x14ac:dyDescent="0.35">
      <c r="A10" s="2">
        <v>41883</v>
      </c>
      <c r="B10">
        <v>81777.34</v>
      </c>
      <c r="C10">
        <v>8328.08</v>
      </c>
    </row>
    <row r="11" spans="1:3" x14ac:dyDescent="0.35">
      <c r="A11" s="2">
        <v>41913</v>
      </c>
      <c r="B11">
        <v>31453.37</v>
      </c>
      <c r="C11">
        <v>3448.23</v>
      </c>
    </row>
    <row r="12" spans="1:3" x14ac:dyDescent="0.35">
      <c r="A12" s="2">
        <v>41944</v>
      </c>
      <c r="B12">
        <v>78628.740000000005</v>
      </c>
      <c r="C12">
        <v>9292.15</v>
      </c>
    </row>
    <row r="13" spans="1:3" x14ac:dyDescent="0.35">
      <c r="A13" s="2">
        <v>41974</v>
      </c>
      <c r="B13">
        <v>69545.64</v>
      </c>
      <c r="C13">
        <v>8983.59</v>
      </c>
    </row>
    <row r="14" spans="1:3" x14ac:dyDescent="0.35">
      <c r="A14" s="2">
        <v>42005</v>
      </c>
      <c r="B14">
        <v>18174.080000000002</v>
      </c>
      <c r="C14">
        <v>-3280.97</v>
      </c>
    </row>
    <row r="15" spans="1:3" x14ac:dyDescent="0.35">
      <c r="A15" s="2">
        <v>42036</v>
      </c>
      <c r="B15">
        <v>11951.4</v>
      </c>
      <c r="C15">
        <v>2813.84</v>
      </c>
    </row>
    <row r="16" spans="1:3" x14ac:dyDescent="0.35">
      <c r="A16" s="2">
        <v>42064</v>
      </c>
      <c r="B16">
        <v>38726.26</v>
      </c>
      <c r="C16">
        <v>9732.07</v>
      </c>
    </row>
    <row r="17" spans="1:3" x14ac:dyDescent="0.35">
      <c r="A17" s="2">
        <v>42095</v>
      </c>
      <c r="B17">
        <v>34195.25</v>
      </c>
      <c r="C17">
        <v>4187.53</v>
      </c>
    </row>
    <row r="18" spans="1:3" x14ac:dyDescent="0.35">
      <c r="A18" s="2">
        <v>42125</v>
      </c>
      <c r="B18">
        <v>30131.72</v>
      </c>
      <c r="C18">
        <v>4667.83</v>
      </c>
    </row>
    <row r="19" spans="1:3" x14ac:dyDescent="0.35">
      <c r="A19" s="2">
        <v>42156</v>
      </c>
      <c r="B19">
        <v>24797.31</v>
      </c>
      <c r="C19">
        <v>3335.56</v>
      </c>
    </row>
    <row r="20" spans="1:3" x14ac:dyDescent="0.35">
      <c r="A20" s="2">
        <v>42186</v>
      </c>
      <c r="B20">
        <v>28765.32</v>
      </c>
      <c r="C20">
        <v>3288.71</v>
      </c>
    </row>
    <row r="21" spans="1:3" x14ac:dyDescent="0.35">
      <c r="A21" s="2">
        <v>42217</v>
      </c>
      <c r="B21">
        <v>36898.32</v>
      </c>
      <c r="C21">
        <v>5355.82</v>
      </c>
    </row>
    <row r="22" spans="1:3" x14ac:dyDescent="0.35">
      <c r="A22" s="2">
        <v>42248</v>
      </c>
      <c r="B22">
        <v>64595.87</v>
      </c>
      <c r="C22">
        <v>8209.17</v>
      </c>
    </row>
    <row r="23" spans="1:3" x14ac:dyDescent="0.35">
      <c r="A23" s="2">
        <v>42278</v>
      </c>
      <c r="B23">
        <v>31404.9</v>
      </c>
      <c r="C23">
        <v>2817.37</v>
      </c>
    </row>
    <row r="24" spans="1:3" x14ac:dyDescent="0.35">
      <c r="A24" s="2">
        <v>42309</v>
      </c>
      <c r="B24">
        <v>75972.509999999995</v>
      </c>
      <c r="C24">
        <v>12474.8</v>
      </c>
    </row>
    <row r="25" spans="1:3" x14ac:dyDescent="0.35">
      <c r="A25" s="2">
        <v>42339</v>
      </c>
      <c r="B25">
        <v>74919.520000000004</v>
      </c>
      <c r="C25">
        <v>8016.96</v>
      </c>
    </row>
    <row r="26" spans="1:3" x14ac:dyDescent="0.35">
      <c r="A26" s="2">
        <v>42370</v>
      </c>
      <c r="B26">
        <v>18542.52</v>
      </c>
      <c r="C26">
        <v>2824.82</v>
      </c>
    </row>
    <row r="27" spans="1:3" x14ac:dyDescent="0.35">
      <c r="A27" s="2">
        <v>42401</v>
      </c>
      <c r="B27">
        <v>22978.82</v>
      </c>
      <c r="C27">
        <v>5004.59</v>
      </c>
    </row>
    <row r="28" spans="1:3" x14ac:dyDescent="0.35">
      <c r="A28" s="2">
        <v>42430</v>
      </c>
      <c r="B28">
        <v>51715.86</v>
      </c>
      <c r="C28">
        <v>3611.98</v>
      </c>
    </row>
    <row r="29" spans="1:3" x14ac:dyDescent="0.35">
      <c r="A29" s="2">
        <v>42461</v>
      </c>
      <c r="B29">
        <v>38750.04</v>
      </c>
      <c r="C29">
        <v>2977.88</v>
      </c>
    </row>
    <row r="30" spans="1:3" x14ac:dyDescent="0.35">
      <c r="A30" s="2">
        <v>42491</v>
      </c>
      <c r="B30">
        <v>56987.75</v>
      </c>
      <c r="C30">
        <v>8662.09</v>
      </c>
    </row>
    <row r="31" spans="1:3" x14ac:dyDescent="0.35">
      <c r="A31" s="2">
        <v>42522</v>
      </c>
      <c r="B31">
        <v>40344.54</v>
      </c>
      <c r="C31">
        <v>4750.33</v>
      </c>
    </row>
    <row r="32" spans="1:3" x14ac:dyDescent="0.35">
      <c r="A32" s="2">
        <v>42552</v>
      </c>
      <c r="B32">
        <v>39261.99</v>
      </c>
      <c r="C32">
        <v>4432.8999999999996</v>
      </c>
    </row>
    <row r="33" spans="1:3" x14ac:dyDescent="0.35">
      <c r="A33" s="2">
        <v>42583</v>
      </c>
      <c r="B33">
        <v>31115.35</v>
      </c>
      <c r="C33">
        <v>2062.0500000000002</v>
      </c>
    </row>
    <row r="34" spans="1:3" x14ac:dyDescent="0.35">
      <c r="A34" s="2">
        <v>42614</v>
      </c>
      <c r="B34">
        <v>73410.09</v>
      </c>
      <c r="C34">
        <v>9328.68</v>
      </c>
    </row>
    <row r="35" spans="1:3" x14ac:dyDescent="0.35">
      <c r="A35" s="2">
        <v>42644</v>
      </c>
      <c r="B35">
        <v>59687.8</v>
      </c>
      <c r="C35">
        <v>16243.22</v>
      </c>
    </row>
    <row r="36" spans="1:3" x14ac:dyDescent="0.35">
      <c r="A36" s="2">
        <v>42675</v>
      </c>
      <c r="B36">
        <v>79412.03</v>
      </c>
      <c r="C36">
        <v>4011.45</v>
      </c>
    </row>
    <row r="37" spans="1:3" x14ac:dyDescent="0.35">
      <c r="A37" s="2">
        <v>42705</v>
      </c>
      <c r="B37">
        <v>96999.07</v>
      </c>
      <c r="C37">
        <v>17885.28</v>
      </c>
    </row>
    <row r="38" spans="1:3" x14ac:dyDescent="0.35">
      <c r="A38" s="2">
        <v>42736</v>
      </c>
      <c r="B38">
        <v>43971.37</v>
      </c>
      <c r="C38">
        <v>7140.45</v>
      </c>
    </row>
    <row r="39" spans="1:3" x14ac:dyDescent="0.35">
      <c r="A39" s="2">
        <v>42767</v>
      </c>
      <c r="B39">
        <v>20301.12</v>
      </c>
      <c r="C39">
        <v>1613.89</v>
      </c>
    </row>
    <row r="40" spans="1:3" x14ac:dyDescent="0.35">
      <c r="A40" s="2">
        <v>42795</v>
      </c>
      <c r="B40">
        <v>58872.35</v>
      </c>
      <c r="C40">
        <v>14751.87</v>
      </c>
    </row>
    <row r="41" spans="1:3" x14ac:dyDescent="0.35">
      <c r="A41" s="2">
        <v>42826</v>
      </c>
      <c r="B41">
        <v>36521.519999999997</v>
      </c>
      <c r="C41">
        <v>933.3</v>
      </c>
    </row>
    <row r="42" spans="1:3" x14ac:dyDescent="0.35">
      <c r="A42" s="2">
        <v>42856</v>
      </c>
      <c r="B42">
        <v>44261.08</v>
      </c>
      <c r="C42">
        <v>6342.7</v>
      </c>
    </row>
    <row r="43" spans="1:3" x14ac:dyDescent="0.35">
      <c r="A43" s="2">
        <v>42887</v>
      </c>
      <c r="B43">
        <v>52981.73</v>
      </c>
      <c r="C43">
        <v>8223.42</v>
      </c>
    </row>
    <row r="44" spans="1:3" x14ac:dyDescent="0.35">
      <c r="A44" s="2">
        <v>42917</v>
      </c>
      <c r="B44">
        <v>45264.43</v>
      </c>
      <c r="C44">
        <v>6952.6</v>
      </c>
    </row>
    <row r="45" spans="1:3" x14ac:dyDescent="0.35">
      <c r="A45" s="2">
        <v>42948</v>
      </c>
      <c r="B45">
        <v>63120.85</v>
      </c>
      <c r="C45">
        <v>9041.09</v>
      </c>
    </row>
    <row r="46" spans="1:3" x14ac:dyDescent="0.35">
      <c r="A46" s="2">
        <v>42979</v>
      </c>
      <c r="B46">
        <v>87866.66</v>
      </c>
      <c r="C46">
        <v>10991.57</v>
      </c>
    </row>
    <row r="47" spans="1:3" x14ac:dyDescent="0.35">
      <c r="A47" s="2">
        <v>43009</v>
      </c>
      <c r="B47">
        <v>77776.960000000006</v>
      </c>
      <c r="C47">
        <v>9275.3799999999992</v>
      </c>
    </row>
    <row r="48" spans="1:3" x14ac:dyDescent="0.35">
      <c r="A48" s="2">
        <v>43040</v>
      </c>
      <c r="B48">
        <v>118447.81</v>
      </c>
      <c r="C48">
        <v>9690.1</v>
      </c>
    </row>
    <row r="49" spans="1:3" x14ac:dyDescent="0.35">
      <c r="A49" s="2">
        <v>43070</v>
      </c>
      <c r="B49">
        <v>83829.31</v>
      </c>
      <c r="C49">
        <v>8483.4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A1E6-F5AC-4B72-8A98-8EF1C14D89D4}">
  <dimension ref="A1:C6"/>
  <sheetViews>
    <sheetView workbookViewId="0">
      <selection activeCell="I4" sqref="I4"/>
    </sheetView>
  </sheetViews>
  <sheetFormatPr defaultRowHeight="14.5" x14ac:dyDescent="0.35"/>
  <cols>
    <col min="1" max="1" width="14.54296875" bestFit="1" customWidth="1"/>
    <col min="2" max="2" width="11.08984375" bestFit="1" customWidth="1"/>
    <col min="3" max="3" width="13.36328125" customWidth="1"/>
  </cols>
  <sheetData>
    <row r="1" spans="1:3" x14ac:dyDescent="0.35">
      <c r="A1" t="s">
        <v>7</v>
      </c>
      <c r="B1" t="s">
        <v>25</v>
      </c>
      <c r="C1" t="s">
        <v>24</v>
      </c>
    </row>
    <row r="2" spans="1:3" x14ac:dyDescent="0.35">
      <c r="A2" s="1" t="s">
        <v>15</v>
      </c>
      <c r="B2">
        <v>-38510.639999999999</v>
      </c>
      <c r="C2">
        <v>613</v>
      </c>
    </row>
    <row r="3" spans="1:3" x14ac:dyDescent="0.35">
      <c r="A3" s="1" t="s">
        <v>14</v>
      </c>
      <c r="B3">
        <v>-32412.240000000002</v>
      </c>
      <c r="C3">
        <v>203</v>
      </c>
    </row>
    <row r="4" spans="1:3" x14ac:dyDescent="0.35">
      <c r="A4" s="1" t="s">
        <v>16</v>
      </c>
      <c r="B4">
        <v>-30118.720000000001</v>
      </c>
      <c r="C4">
        <v>44</v>
      </c>
    </row>
    <row r="5" spans="1:3" x14ac:dyDescent="0.35">
      <c r="A5" s="1" t="s">
        <v>19</v>
      </c>
      <c r="B5">
        <v>-12152.3</v>
      </c>
      <c r="C5">
        <v>109</v>
      </c>
    </row>
    <row r="6" spans="1:3" x14ac:dyDescent="0.35">
      <c r="A6" s="1" t="s">
        <v>12</v>
      </c>
      <c r="B6">
        <v>-9880.9500000000007</v>
      </c>
      <c r="C6">
        <v>235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24236-90A4-410F-AB34-B5F812BE59A4}">
  <dimension ref="A1:D4"/>
  <sheetViews>
    <sheetView workbookViewId="0">
      <selection sqref="A1:B1048576"/>
    </sheetView>
  </sheetViews>
  <sheetFormatPr defaultRowHeight="14.5" x14ac:dyDescent="0.35"/>
  <cols>
    <col min="1" max="1" width="10.90625" bestFit="1" customWidth="1"/>
    <col min="2" max="2" width="10.81640625" bestFit="1" customWidth="1"/>
    <col min="3" max="3" width="9.81640625" bestFit="1" customWidth="1"/>
    <col min="4" max="4" width="17.90625" bestFit="1" customWidth="1"/>
    <col min="5" max="5" width="10.81640625" bestFit="1" customWidth="1"/>
  </cols>
  <sheetData>
    <row r="1" spans="1:4" x14ac:dyDescent="0.35">
      <c r="A1" t="s">
        <v>26</v>
      </c>
      <c r="B1" t="s">
        <v>29</v>
      </c>
      <c r="C1" t="s">
        <v>27</v>
      </c>
      <c r="D1" t="s">
        <v>28</v>
      </c>
    </row>
    <row r="2" spans="1:4" x14ac:dyDescent="0.35">
      <c r="A2" s="1" t="s">
        <v>30</v>
      </c>
      <c r="B2">
        <v>11.5</v>
      </c>
      <c r="C2">
        <v>1161401.3400000001</v>
      </c>
      <c r="D2">
        <v>134119.32999999999</v>
      </c>
    </row>
    <row r="3" spans="1:4" x14ac:dyDescent="0.35">
      <c r="A3" s="1" t="s">
        <v>31</v>
      </c>
      <c r="B3">
        <v>13</v>
      </c>
      <c r="C3">
        <v>706146.44</v>
      </c>
      <c r="D3">
        <v>91979.45</v>
      </c>
    </row>
    <row r="4" spans="1:4" x14ac:dyDescent="0.35">
      <c r="A4" s="1" t="s">
        <v>32</v>
      </c>
      <c r="B4">
        <v>14</v>
      </c>
      <c r="C4">
        <v>429653.29</v>
      </c>
      <c r="D4">
        <v>60299.01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83E77A-E878-45F5-9160-E57430B604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</vt:lpstr>
      <vt:lpstr>Dashboard</vt:lpstr>
      <vt:lpstr>Subcategory</vt:lpstr>
      <vt:lpstr>Monthly</vt:lpstr>
      <vt:lpstr>lossMaking</vt:lpstr>
      <vt:lpstr>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khan</dc:creator>
  <cp:lastModifiedBy>talha khan</cp:lastModifiedBy>
  <cp:lastPrinted>2026-04-19T05:01:00Z</cp:lastPrinted>
  <dcterms:created xsi:type="dcterms:W3CDTF">2026-04-19T03:58:40Z</dcterms:created>
  <dcterms:modified xsi:type="dcterms:W3CDTF">2026-04-19T05:01:52Z</dcterms:modified>
</cp:coreProperties>
</file>